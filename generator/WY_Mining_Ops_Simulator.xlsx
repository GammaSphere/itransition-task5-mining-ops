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or" sheetId="1" state="visible" r:id="rId1"/>
    <sheet name="Data" sheetId="2" state="visible" r:id="rId2"/>
    <sheet name="Engine" sheetId="3" state="visible" r:id="rId3"/>
    <sheet name="Model" sheetId="4" state="visible" r:id="rId4"/>
    <sheet name="Guide" sheetId="5" state="visible" r:id="rId5"/>
  </sheets>
  <definedNames>
    <definedName name="StartDate">Generator!$B$4</definedName>
    <definedName name="DaysCount">Generator!$C$4</definedName>
    <definedName name="MineNames">Generator!$B$5:$I$5</definedName>
    <definedName name="Dist">Generator!$B$7</definedName>
    <definedName name="ParamA">Generator!$C$7</definedName>
    <definedName name="ParamB">Generator!$D$7</definedName>
    <definedName name="ParamC">Generator!$E$7</definedName>
    <definedName name="Smoothing">Generator!$F$7</definedName>
    <definedName name="Correlation">Generator!$G$7</definedName>
    <definedName name="Seed">Generator!$H$7</definedName>
    <definedName name="WeekdayFactors">Generator!$B$10:$H$10</definedName>
    <definedName name="GrowthRate">Generator!$B$11</definedName>
    <definedName name="TrendType">Generator!$D$11</definedName>
    <definedName name="EvDay">Generator!$B$13:$B$20</definedName>
    <definedName name="EvDur">Generator!$C$13:$C$20</definedName>
    <definedName name="EvFactor">Generator!$D$13:$D$20</definedName>
    <definedName name="EvProb">Generator!$E$13:$E$20</definedName>
    <definedName name="EvMines">Generator!$F$13:$F$20</definedName>
    <definedName name="EvShape">Generator!$G$13:$G$20</definedName>
    <definedName name="NormMu">Model!$B$4</definedName>
    <definedName name="NormSd">Model!$B$5</definedName>
    <definedName name="UniLo">Model!$B$6</definedName>
    <definedName name="UniHi">Model!$B$7</definedName>
    <definedName name="LogSd">Model!$B$8</definedName>
    <definedName name="LogMu">Model!$B$9</definedName>
    <definedName name="TriLo">Model!$B$10</definedName>
    <definedName name="TriMode">Model!$B$11</definedName>
    <definedName name="TriHi">Model!$B$12</definedName>
    <definedName name="BaseMean">Model!$B$13</definedName>
    <definedName name="BaseSd">Model!$B$14</definedName>
    <definedName name="Rho">Model!$B$15</definedName>
    <definedName name="MixC">Model!$B$16</definedName>
    <definedName name="EvDraw">Model!$B$20:$I$27</definedName>
    <definedName name="EvHit">Model!$B$30:$I$37</definedName>
    <definedName name="EvAmp">Model!$B$40:$I$47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#,##0.0"/>
    <numFmt numFmtId="166" formatCode="0.0%"/>
    <numFmt numFmtId="167" formatCode="0.0000"/>
    <numFmt numFmtId="168" formatCode="0.000"/>
  </numFmts>
  <fonts count="17">
    <font>
      <name val="Calibri"/>
      <family val="2"/>
      <color theme="1"/>
      <sz val="11"/>
      <scheme val="minor"/>
    </font>
    <font>
      <color rgb="000B0B0B"/>
      <sz val="20"/>
    </font>
    <font>
      <b val="1"/>
      <color rgb="000B0B0B"/>
      <sz val="12"/>
    </font>
    <font>
      <b val="1"/>
      <color rgb="000B0B0B"/>
    </font>
    <font>
      <i val="1"/>
      <color rgb="0052514E"/>
    </font>
    <font>
      <color rgb="000B0B0B"/>
    </font>
    <font>
      <i val="1"/>
      <color rgb="0052514E"/>
      <sz val="9"/>
    </font>
    <font>
      <color rgb="00898781"/>
    </font>
    <font>
      <i val="1"/>
      <color rgb="00898781"/>
      <sz val="9"/>
    </font>
    <font>
      <color rgb="0052514E"/>
      <sz val="9"/>
    </font>
    <font>
      <b val="1"/>
      <color rgb="000B0B0B"/>
      <sz val="9"/>
    </font>
    <font>
      <b val="1"/>
      <sz val="12"/>
    </font>
    <font>
      <b val="1"/>
    </font>
    <font>
      <b val="1"/>
      <sz val="11"/>
    </font>
    <font>
      <b val="1"/>
      <color rgb="0052514E"/>
    </font>
    <font>
      <b val="1"/>
      <sz val="14"/>
    </font>
    <font>
      <b val="1"/>
      <color rgb="002A78D6"/>
      <sz val="11"/>
    </font>
  </fonts>
  <fills count="12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D9D9D9"/>
      </patternFill>
    </fill>
    <fill>
      <patternFill patternType="solid">
        <fgColor rgb="00F6F6F4"/>
      </patternFill>
    </fill>
    <fill>
      <patternFill patternType="solid">
        <fgColor rgb="00FFF8E1"/>
      </patternFill>
    </fill>
    <fill>
      <patternFill patternType="solid">
        <fgColor rgb="00EFEFEF"/>
      </patternFill>
    </fill>
    <fill>
      <patternFill patternType="solid">
        <fgColor rgb="00E8F1FB"/>
      </patternFill>
    </fill>
    <fill>
      <patternFill patternType="solid">
        <fgColor rgb="00EAF6F0"/>
      </patternFill>
    </fill>
    <fill>
      <patternFill patternType="solid">
        <fgColor rgb="00FDF3E1"/>
      </patternFill>
    </fill>
    <fill>
      <patternFill patternType="solid">
        <fgColor rgb="00FBEDEA"/>
      </patternFill>
    </fill>
    <fill>
      <patternFill patternType="solid">
        <fgColor rgb="00EDEBFA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166" fontId="0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0" fillId="4" borderId="5" pivotButton="0" quotePrefix="0" xfId="0"/>
    <xf numFmtId="0" fontId="9" fillId="5" borderId="0" applyAlignment="1" pivotButton="0" quotePrefix="0" xfId="0">
      <alignment horizontal="left" vertical="center" wrapText="1"/>
    </xf>
    <xf numFmtId="164" fontId="0" fillId="0" borderId="0" pivotButton="0" quotePrefix="0" xfId="0"/>
    <xf numFmtId="0" fontId="12" fillId="6" borderId="0" pivotButton="0" quotePrefix="0" xfId="0"/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0" pivotButton="0" quotePrefix="0" xfId="0"/>
    <xf numFmtId="167" fontId="0" fillId="0" borderId="0" pivotButton="0" quotePrefix="0" xfId="0"/>
    <xf numFmtId="0" fontId="4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168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0" fontId="1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color rgb="00BBBBBB"/>
      </font>
      <fill>
        <patternFill patternType="solid">
          <fgColor rgb="00EEEEEE"/>
        </patternFill>
      </fill>
    </dxf>
    <dxf>
      <font>
        <b val="1"/>
        <color rgb="000B0B0B"/>
      </font>
    </dxf>
    <dxf>
      <font>
        <strike val="1"/>
        <color rgb="00AAAAAA"/>
      </font>
    </dxf>
    <dxf>
      <font>
        <b val="1"/>
        <color rgb="00C0392B"/>
      </font>
    </dxf>
    <dxf>
      <font>
        <b val="1"/>
        <color rgb="001E7B34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Daily output by mine</a:t>
            </a:r>
          </a:p>
        </rich>
      </tx>
    </title>
    <plotArea>
      <lineChart>
        <grouping val="standard"/>
        <ser>
          <idx val="0"/>
          <order val="0"/>
          <tx>
            <strRef>
              <f>'Engine'!$AL$2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'Engine'!$B$3:$B$732</f>
            </numRef>
          </cat>
          <val>
            <numRef>
              <f>'Engine'!$AL$3:$AL$732</f>
            </numRef>
          </val>
          <smooth val="0"/>
        </ser>
        <ser>
          <idx val="1"/>
          <order val="1"/>
          <tx>
            <strRef>
              <f>'Engine'!$AM$2</f>
            </strRef>
          </tx>
          <spPr>
            <a:ln w="1905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'Engine'!$B$3:$B$732</f>
            </numRef>
          </cat>
          <val>
            <numRef>
              <f>'Engine'!$AM$3:$AM$732</f>
            </numRef>
          </val>
          <smooth val="0"/>
        </ser>
        <ser>
          <idx val="2"/>
          <order val="2"/>
          <tx>
            <strRef>
              <f>'Engine'!$AN$2</f>
            </strRef>
          </tx>
          <spPr>
            <a:ln w="19050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'Engine'!$B$3:$B$732</f>
            </numRef>
          </cat>
          <val>
            <numRef>
              <f>'Engine'!$AN$3:$AN$732</f>
            </numRef>
          </val>
          <smooth val="0"/>
        </ser>
        <ser>
          <idx val="3"/>
          <order val="3"/>
          <tx>
            <strRef>
              <f>'Engine'!$AO$2</f>
            </strRef>
          </tx>
          <spPr>
            <a:ln w="19050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'Engine'!$B$3:$B$732</f>
            </numRef>
          </cat>
          <val>
            <numRef>
              <f>'Engine'!$AO$3:$AO$732</f>
            </numRef>
          </val>
          <smooth val="0"/>
        </ser>
        <ser>
          <idx val="4"/>
          <order val="4"/>
          <tx>
            <strRef>
              <f>'Engine'!$AP$2</f>
            </strRef>
          </tx>
          <spPr>
            <a:ln w="19050">
              <a:solidFill>
                <a:srgbClr val="E87BA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'Engine'!$B$3:$B$732</f>
            </numRef>
          </cat>
          <val>
            <numRef>
              <f>'Engine'!$AP$3:$AP$732</f>
            </numRef>
          </val>
          <smooth val="0"/>
        </ser>
        <ser>
          <idx val="5"/>
          <order val="5"/>
          <tx>
            <strRef>
              <f>'Engine'!$AQ$2</f>
            </strRef>
          </tx>
          <spPr>
            <a:ln w="19050">
              <a:solidFill>
                <a:srgbClr val="0083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'Engine'!$B$3:$B$732</f>
            </numRef>
          </cat>
          <val>
            <numRef>
              <f>'Engine'!$AQ$3:$AQ$732</f>
            </numRef>
          </val>
          <smooth val="0"/>
        </ser>
        <ser>
          <idx val="6"/>
          <order val="6"/>
          <tx>
            <strRef>
              <f>'Engine'!$AR$2</f>
            </strRef>
          </tx>
          <spPr>
            <a:ln w="19050">
              <a:solidFill>
                <a:srgbClr val="6250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'Engine'!$B$3:$B$732</f>
            </numRef>
          </cat>
          <val>
            <numRef>
              <f>'Engine'!$AR$3:$AR$732</f>
            </numRef>
          </val>
          <smooth val="0"/>
        </ser>
        <ser>
          <idx val="7"/>
          <order val="7"/>
          <tx>
            <strRef>
              <f>'Engine'!$AS$2</f>
            </strRef>
          </tx>
          <spPr>
            <a:ln w="19050">
              <a:solidFill>
                <a:srgbClr val="E349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'Engine'!$B$3:$B$732</f>
            </numRef>
          </cat>
          <val>
            <numRef>
              <f>'Engine'!$AS$3:$AS$732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 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Output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daily output (all mines)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'Engine'!$AT$2</f>
            </strRef>
          </tx>
          <spPr>
            <a:solidFill>
              <a:srgbClr val="52514E"/>
            </a:solidFill>
            <a:ln>
              <a:noFill/>
              <a:prstDash val="solid"/>
            </a:ln>
          </spPr>
          <cat>
            <numRef>
              <f>'Engine'!$B$3:$B$732</f>
            </numRef>
          </cat>
          <val>
            <numRef>
              <f>'Engine'!$AT$3:$AT$732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numFmt formatCode="mmm 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864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43</row>
      <rowOff>0</rowOff>
    </from>
    <ext cx="864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2A78D6"/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70" customWidth="1" min="10" max="10"/>
  </cols>
  <sheetData>
    <row r="1" ht="40" customHeight="1">
      <c r="A1" s="1" t="inlineStr">
        <is>
          <t>Weyland-Yutani Corporation</t>
        </is>
      </c>
    </row>
    <row r="2" ht="22" customHeight="1">
      <c r="A2" s="2" t="inlineStr">
        <is>
          <t>Mining Ops Simulator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 ht="22" customHeight="1">
      <c r="A3" s="4" t="inlineStr">
        <is>
          <t>Range:</t>
        </is>
      </c>
      <c r="B3" s="5" t="inlineStr">
        <is>
          <t>Start date</t>
        </is>
      </c>
      <c r="C3" s="5" t="inlineStr">
        <is>
          <t>Days count</t>
        </is>
      </c>
      <c r="D3" s="5" t="inlineStr">
        <is>
          <t>End date</t>
        </is>
      </c>
      <c r="E3" s="5" t="inlineStr">
        <is>
          <t>Mines</t>
        </is>
      </c>
      <c r="F3" s="5" t="inlineStr">
        <is>
          <t>Total output</t>
        </is>
      </c>
      <c r="G3" s="5" t="inlineStr">
        <is>
          <t>Avg / day</t>
        </is>
      </c>
      <c r="H3" s="5" t="inlineStr">
        <is>
          <t>Peak day</t>
        </is>
      </c>
      <c r="I3" s="5" t="inlineStr">
        <is>
          <t>Peak total</t>
        </is>
      </c>
    </row>
    <row r="4" ht="22" customHeight="1">
      <c r="A4" s="4" t="n"/>
      <c r="B4" s="6" t="n">
        <v>72991</v>
      </c>
      <c r="C4" s="7" t="n">
        <v>40</v>
      </c>
      <c r="D4" s="8">
        <f>IF(N(C4)&lt;1,"",B4+C4-1)</f>
        <v/>
      </c>
      <c r="E4" s="9">
        <f>COUNTA(MineNames)</f>
        <v/>
      </c>
      <c r="F4" s="10">
        <f>IFERROR(SUM(Engine!AT3:INDEX(Engine!AT:AT,DaysCount+2)),0)</f>
        <v/>
      </c>
      <c r="G4" s="11">
        <f>IFERROR(F4/C4,0)</f>
        <v/>
      </c>
      <c r="H4" s="8">
        <f>IFERROR(INDEX(Engine!B3:INDEX(Engine!B:B,DaysCount+2),MATCH(MAX(Engine!AT3:INDEX(Engine!AT:AT,DaysCount+2)),Engine!AT3:INDEX(Engine!AT:AT,DaysCount+2),0)),"")</f>
        <v/>
      </c>
      <c r="I4" s="11">
        <f>IFERROR(MAX(Engine!AT3:INDEX(Engine!AT:AT,DaysCount+2)),"")</f>
        <v/>
      </c>
      <c r="J4" s="12" t="inlineStr">
        <is>
          <t>Start date and number of days (1 to 730). Grey italic cells are calculated.</t>
        </is>
      </c>
    </row>
    <row r="5" ht="22" customHeight="1">
      <c r="A5" s="4" t="inlineStr">
        <is>
          <t>Mines:</t>
        </is>
      </c>
      <c r="B5" s="13" t="inlineStr">
        <is>
          <t>LV-426</t>
        </is>
      </c>
      <c r="C5" s="13" t="inlineStr">
        <is>
          <t>Origae-6</t>
        </is>
      </c>
      <c r="D5" s="13" t="inlineStr">
        <is>
          <t>Fiorina 151</t>
        </is>
      </c>
      <c r="E5" s="13" t="n"/>
      <c r="F5" s="13" t="n"/>
      <c r="G5" s="13" t="n"/>
      <c r="H5" s="13" t="n"/>
      <c r="I5" s="13" t="n"/>
      <c r="J5" s="12" t="inlineStr">
        <is>
          <t>Up to 8 mines: type a name to add a mine, clear it to remove one.</t>
        </is>
      </c>
    </row>
    <row r="6" ht="22" customHeight="1">
      <c r="A6" s="4" t="inlineStr">
        <is>
          <t>Random:</t>
        </is>
      </c>
      <c r="B6" s="5" t="inlineStr">
        <is>
          <t>Distribution</t>
        </is>
      </c>
      <c r="C6" s="5">
        <f>SWITCH(Dist,"Normal","Mean","Uniform","Min","Log-normal","Mean","Triangular","Min","Param 1")</f>
        <v/>
      </c>
      <c r="D6" s="5">
        <f>SWITCH(Dist,"Normal","Deviation","Uniform","Max","Log-normal","Deviation","Triangular","Mode","Param 2")</f>
        <v/>
      </c>
      <c r="E6" s="5">
        <f>IF(Dist="Triangular","Max","")</f>
        <v/>
      </c>
      <c r="F6" s="5" t="inlineStr">
        <is>
          <t>Smoothing</t>
        </is>
      </c>
      <c r="G6" s="5" t="inlineStr">
        <is>
          <t>Correlation</t>
        </is>
      </c>
      <c r="H6" s="5" t="inlineStr">
        <is>
          <t>Seed</t>
        </is>
      </c>
      <c r="I6" s="7" t="n"/>
      <c r="J6" s="12" t="inlineStr">
        <is>
          <t>The parameter headers follow the distribution: Normal / Log-normal: Mean, Deviation; Uniform: Min, Max; Triangular: Min, Mode, Max.</t>
        </is>
      </c>
    </row>
    <row r="7" ht="22" customHeight="1">
      <c r="A7" s="4" t="n"/>
      <c r="B7" s="7" t="inlineStr">
        <is>
          <t>Normal</t>
        </is>
      </c>
      <c r="C7" s="7" t="n">
        <v>50</v>
      </c>
      <c r="D7" s="7" t="n">
        <v>6</v>
      </c>
      <c r="E7" s="7" t="n"/>
      <c r="F7" s="7" t="n">
        <v>0.5</v>
      </c>
      <c r="G7" s="7" t="n">
        <v>0.2</v>
      </c>
      <c r="H7" s="7" t="n">
        <v>2099</v>
      </c>
      <c r="I7" s="7" t="n"/>
      <c r="J7" s="12" t="inlineStr">
        <is>
          <t>Smoothing: day-to-day correlation, 0 to 0.99 (0 = white noise). Correlation: between mines, 0 to 1. Seed: change it for a new random realisation.</t>
        </is>
      </c>
    </row>
    <row r="8" ht="30" customHeight="1">
      <c r="A8" s="4" t="n"/>
      <c r="B8" s="14">
        <f>SWITCH(Dist,"Normal","Normal: mean "&amp;TEXT(NormMu,"0.0")&amp;", deviation "&amp;TEXT(NormSd,"0.0"),"Uniform","Uniform: every value between "&amp;TEXT(UniLo,"0.0")&amp;" and "&amp;TEXT(UniHi,"0.0")&amp;" is equally likely","Log-normal","Log-normal (right-skewed, never negative): log-mean "&amp;TEXT(LogMu,"0.000")&amp;", log-sd "&amp;TEXT(LogSd,"0.000"),"Triangular","Triangular: min "&amp;TEXT(TriLo,"0.0")&amp;", most likely "&amp;TEXT(TriMode,"0.0")&amp;", max "&amp;TEXT(TriHi,"0.0"),"Choose a distribution")&amp;"   |   base mean "&amp;TEXT(BaseMean,"0.0")&amp;", sd "&amp;TEXT(BaseSd,"0.0")&amp;"   |   day-to-day corr. "&amp;TEXT(Rho,"0.00")&amp;", between mines "&amp;TEXT(MixC,"0.00")</f>
        <v/>
      </c>
      <c r="C8" s="15" t="n"/>
      <c r="D8" s="15" t="n"/>
      <c r="E8" s="15" t="n"/>
      <c r="F8" s="15" t="n"/>
      <c r="G8" s="15" t="n"/>
      <c r="H8" s="15" t="n"/>
      <c r="I8" s="16" t="n"/>
    </row>
    <row r="9" ht="22" customHeight="1">
      <c r="A9" s="4" t="inlineStr">
        <is>
          <t>Weekday:</t>
        </is>
      </c>
      <c r="B9" s="5" t="inlineStr">
        <is>
          <t>Mon</t>
        </is>
      </c>
      <c r="C9" s="5" t="inlineStr">
        <is>
          <t>Tue</t>
        </is>
      </c>
      <c r="D9" s="5" t="inlineStr">
        <is>
          <t>Wed</t>
        </is>
      </c>
      <c r="E9" s="5" t="inlineStr">
        <is>
          <t>Thu</t>
        </is>
      </c>
      <c r="F9" s="5" t="inlineStr">
        <is>
          <t>Fri</t>
        </is>
      </c>
      <c r="G9" s="5" t="inlineStr">
        <is>
          <t>Sat</t>
        </is>
      </c>
      <c r="H9" s="5" t="inlineStr">
        <is>
          <t>Sun</t>
        </is>
      </c>
      <c r="I9" s="7" t="n"/>
    </row>
    <row r="10" ht="22" customHeight="1">
      <c r="A10" s="4" t="inlineStr">
        <is>
          <t>Daily output:</t>
        </is>
      </c>
      <c r="B10" s="7" t="n">
        <v>1</v>
      </c>
      <c r="C10" s="7" t="n">
        <v>1</v>
      </c>
      <c r="D10" s="7" t="n">
        <v>1</v>
      </c>
      <c r="E10" s="7" t="n">
        <v>1</v>
      </c>
      <c r="F10" s="7" t="n">
        <v>1</v>
      </c>
      <c r="G10" s="7" t="n">
        <v>0.8</v>
      </c>
      <c r="H10" s="7" t="n">
        <v>0.4</v>
      </c>
      <c r="I10" s="7" t="n"/>
      <c r="J10" s="12" t="inlineStr">
        <is>
          <t>Weekday multipliers: 1 = normal output, 0.4 = output reduced by 60 %.</t>
        </is>
      </c>
    </row>
    <row r="11" ht="22" customHeight="1">
      <c r="A11" s="4" t="inlineStr">
        <is>
          <t>Daily growth:</t>
        </is>
      </c>
      <c r="B11" s="17" t="n">
        <v>0.02</v>
      </c>
      <c r="C11" s="5" t="inlineStr">
        <is>
          <t>Trend</t>
        </is>
      </c>
      <c r="D11" s="7" t="inlineStr">
        <is>
          <t>Compound</t>
        </is>
      </c>
      <c r="E11" s="7" t="n"/>
      <c r="F11" s="7" t="n"/>
      <c r="G11" s="7" t="n"/>
      <c r="H11" s="7" t="n"/>
      <c r="I11" s="7" t="n"/>
      <c r="J11" s="12" t="inlineStr">
        <is>
          <t>Trend per day. Compound: x(1+g)^t, Linear: x(1+g*t). Negative = decline.</t>
        </is>
      </c>
    </row>
    <row r="12" ht="22" customHeight="1">
      <c r="A12" s="4" t="inlineStr">
        <is>
          <t>Events:</t>
        </is>
      </c>
      <c r="B12" s="5" t="inlineStr">
        <is>
          <t>Day</t>
        </is>
      </c>
      <c r="C12" s="5" t="inlineStr">
        <is>
          <t>Duration</t>
        </is>
      </c>
      <c r="D12" s="5" t="inlineStr">
        <is>
          <t>Factor</t>
        </is>
      </c>
      <c r="E12" s="5" t="inlineStr">
        <is>
          <t>Probability</t>
        </is>
      </c>
      <c r="F12" s="5" t="inlineStr">
        <is>
          <t>Mines</t>
        </is>
      </c>
      <c r="G12" s="5" t="inlineStr">
        <is>
          <t>Shape</t>
        </is>
      </c>
      <c r="H12" s="5" t="inlineStr">
        <is>
          <t>Affected mines</t>
        </is>
      </c>
      <c r="I12" s="16" t="n"/>
      <c r="J12" s="12" t="inlineStr">
        <is>
          <t>Day = first day of the event. Factor at the peak: 0.4 = drop to 40 %, 1.4 = spike +40 %.</t>
        </is>
      </c>
    </row>
    <row r="13" ht="22" customHeight="1">
      <c r="A13" s="18" t="inlineStr">
        <is>
          <t>#1</t>
        </is>
      </c>
      <c r="B13" s="6" t="n">
        <v>72999</v>
      </c>
      <c r="C13" s="7" t="n">
        <v>3</v>
      </c>
      <c r="D13" s="7" t="n">
        <v>0.4</v>
      </c>
      <c r="E13" s="7" t="n">
        <v>1</v>
      </c>
      <c r="F13" s="7" t="n"/>
      <c r="G13" s="7" t="inlineStr">
        <is>
          <t>Bell</t>
        </is>
      </c>
      <c r="H13" s="19">
        <f>IF(OR(B13="",D13=""),"",IFERROR(TEXTJOIN(", ",TRUE,FILTER(MineNames,INDEX(EvHit,1,0)=1)),"none"))</f>
        <v/>
      </c>
      <c r="I13" s="20" t="n"/>
      <c r="J13" s="12" t="inlineStr">
        <is>
          <t>Duration in days; for Bell it is the width at half height (smooth ramp up and fade out).</t>
        </is>
      </c>
    </row>
    <row r="14" ht="22" customHeight="1">
      <c r="A14" s="18" t="inlineStr">
        <is>
          <t>#2</t>
        </is>
      </c>
      <c r="B14" s="6" t="n">
        <v>73009</v>
      </c>
      <c r="C14" s="7" t="n">
        <v>1</v>
      </c>
      <c r="D14" s="7" t="n">
        <v>1.4</v>
      </c>
      <c r="E14" s="7" t="n">
        <v>0.33</v>
      </c>
      <c r="F14" s="7" t="n"/>
      <c r="G14" s="7" t="inlineStr">
        <is>
          <t>Bell</t>
        </is>
      </c>
      <c r="H14" s="19">
        <f>IF(OR(B14="",D14=""),"",IFERROR(TEXTJOIN(", ",TRUE,FILTER(MineNames,INDEX(EvHit,2,0)=1)),"none"))</f>
        <v/>
      </c>
      <c r="I14" s="20" t="n"/>
      <c r="J14" s="12" t="inlineStr">
        <is>
          <t>Probability: chance that each mine is hit (independent per mine, blank = 1).</t>
        </is>
      </c>
    </row>
    <row r="15" ht="22" customHeight="1">
      <c r="A15" s="18" t="inlineStr">
        <is>
          <t>#3</t>
        </is>
      </c>
      <c r="B15" s="6" t="n">
        <v>73014</v>
      </c>
      <c r="C15" s="7" t="n">
        <v>2</v>
      </c>
      <c r="D15" s="7" t="n">
        <v>1.9</v>
      </c>
      <c r="E15" s="7" t="n"/>
      <c r="F15" s="7" t="n">
        <v>1</v>
      </c>
      <c r="G15" s="7" t="inlineStr">
        <is>
          <t>Bell</t>
        </is>
      </c>
      <c r="H15" s="19">
        <f>IF(OR(B15="",D15=""),"",IFERROR(TEXTJOIN(", ",TRUE,FILTER(MineNames,INDEX(EvHit,3,0)=1)),"none"))</f>
        <v/>
      </c>
      <c r="I15" s="20" t="n"/>
      <c r="J15" s="12" t="inlineStr">
        <is>
          <t>Mines: exact number of mines hit (optional, overrides Probability).</t>
        </is>
      </c>
    </row>
    <row r="16" ht="22" customHeight="1">
      <c r="A16" s="18" t="inlineStr">
        <is>
          <t>#4</t>
        </is>
      </c>
      <c r="B16" s="6" t="n">
        <v>73022</v>
      </c>
      <c r="C16" s="7" t="n">
        <v>4</v>
      </c>
      <c r="D16" s="7" t="n">
        <v>0.55</v>
      </c>
      <c r="E16" s="7" t="n">
        <v>0.5</v>
      </c>
      <c r="F16" s="7" t="n"/>
      <c r="G16" s="7" t="inlineStr">
        <is>
          <t>Flat</t>
        </is>
      </c>
      <c r="H16" s="19">
        <f>IF(OR(B16="",D16=""),"",IFERROR(TEXTJOIN(", ",TRUE,FILTER(MineNames,INDEX(EvHit,4,0)=1)),"none"))</f>
        <v/>
      </c>
      <c r="I16" s="20" t="n"/>
      <c r="J16" s="12" t="inlineStr">
        <is>
          <t>Shape: Bell (bell-shaped curve) or Flat (rectangular step).</t>
        </is>
      </c>
    </row>
    <row r="17" ht="22" customHeight="1">
      <c r="A17" s="18" t="inlineStr">
        <is>
          <t>#5</t>
        </is>
      </c>
      <c r="B17" s="6" t="n"/>
      <c r="C17" s="7" t="n"/>
      <c r="D17" s="7" t="n"/>
      <c r="E17" s="7" t="n"/>
      <c r="F17" s="7" t="n"/>
      <c r="G17" s="7" t="n"/>
      <c r="H17" s="19">
        <f>IF(OR(B17="",D17=""),"",IFERROR(TEXTJOIN(", ",TRUE,FILTER(MineNames,INDEX(EvHit,5,0)=1)),"none"))</f>
        <v/>
      </c>
      <c r="I17" s="20" t="n"/>
    </row>
    <row r="18" ht="22" customHeight="1">
      <c r="A18" s="18" t="inlineStr">
        <is>
          <t>#6</t>
        </is>
      </c>
      <c r="B18" s="6" t="n"/>
      <c r="C18" s="7" t="n"/>
      <c r="D18" s="7" t="n"/>
      <c r="E18" s="7" t="n"/>
      <c r="F18" s="7" t="n"/>
      <c r="G18" s="7" t="n"/>
      <c r="H18" s="19">
        <f>IF(OR(B18="",D18=""),"",IFERROR(TEXTJOIN(", ",TRUE,FILTER(MineNames,INDEX(EvHit,6,0)=1)),"none"))</f>
        <v/>
      </c>
      <c r="I18" s="20" t="n"/>
    </row>
    <row r="19" ht="22" customHeight="1">
      <c r="A19" s="18" t="inlineStr">
        <is>
          <t>#7</t>
        </is>
      </c>
      <c r="B19" s="6" t="n"/>
      <c r="C19" s="7" t="n"/>
      <c r="D19" s="7" t="n"/>
      <c r="E19" s="7" t="n"/>
      <c r="F19" s="7" t="n"/>
      <c r="G19" s="7" t="n"/>
      <c r="H19" s="19">
        <f>IF(OR(B19="",D19=""),"",IFERROR(TEXTJOIN(", ",TRUE,FILTER(MineNames,INDEX(EvHit,7,0)=1)),"none"))</f>
        <v/>
      </c>
      <c r="I19" s="20" t="n"/>
    </row>
    <row r="20" ht="22" customHeight="1">
      <c r="A20" s="18" t="inlineStr">
        <is>
          <t>#8</t>
        </is>
      </c>
      <c r="B20" s="6" t="n"/>
      <c r="C20" s="7" t="n"/>
      <c r="D20" s="7" t="n"/>
      <c r="E20" s="7" t="n"/>
      <c r="F20" s="7" t="n"/>
      <c r="G20" s="7" t="n"/>
      <c r="H20" s="19">
        <f>IF(OR(B20="",D20=""),"",IFERROR(TEXTJOIN(", ",TRUE,FILTER(MineNames,INDEX(EvHit,8,0)=1)),"none"))</f>
        <v/>
      </c>
      <c r="I20" s="20" t="n"/>
    </row>
    <row r="21" ht="62" customHeight="1">
      <c r="A21" s="21" t="inlineStr">
        <is>
          <t>How it works: each mine draws daily base output from the chosen distribution (Gaussian-copula with day-to-day smoothing and between-mine correlation), then multiplies it by the weekday factor, the trend and every event that hits it. The Data sheet is the data source for the dashboard. Details: Guide sheet.</t>
        </is>
      </c>
    </row>
    <row r="22" ht="22" customHeight="1"/>
  </sheetData>
  <mergeCells count="13">
    <mergeCell ref="H12:I12"/>
    <mergeCell ref="A2:I2"/>
    <mergeCell ref="H20:I20"/>
    <mergeCell ref="H16:I16"/>
    <mergeCell ref="H15:I15"/>
    <mergeCell ref="H18:I18"/>
    <mergeCell ref="A1:I1"/>
    <mergeCell ref="H19:I19"/>
    <mergeCell ref="H14:I14"/>
    <mergeCell ref="H13:I13"/>
    <mergeCell ref="B8:I8"/>
    <mergeCell ref="A21:I21"/>
    <mergeCell ref="H17:I17"/>
  </mergeCells>
  <conditionalFormatting sqref="E7">
    <cfRule type="expression" priority="1" dxfId="0">
      <formula>$B$7&lt;&gt;"Triangular"</formula>
    </cfRule>
  </conditionalFormatting>
  <conditionalFormatting sqref="F13:F20">
    <cfRule type="expression" priority="2" dxfId="1">
      <formula>AND($F13&lt;&gt;"",$B13&lt;&gt;"")</formula>
    </cfRule>
  </conditionalFormatting>
  <conditionalFormatting sqref="E13:E20">
    <cfRule type="expression" priority="3" dxfId="2">
      <formula>AND($F13&lt;&gt;"",$B13&lt;&gt;"")</formula>
    </cfRule>
  </conditionalFormatting>
  <conditionalFormatting sqref="D13:D20">
    <cfRule type="expression" priority="4" dxfId="3">
      <formula>AND(ISNUMBER($D13),$D13&lt;1)</formula>
    </cfRule>
    <cfRule type="expression" priority="5" dxfId="4">
      <formula>AND(ISNUMBER($D13),$D13&gt;1)</formula>
    </cfRule>
  </conditionalFormatting>
  <dataValidations count="13">
    <dataValidation sqref="B4" showDropDown="0" showInputMessage="0" showErrorMessage="1" allowBlank="1" error="Enter a date" type="date" operator="greaterThan">
      <formula1>1</formula1>
    </dataValidation>
    <dataValidation sqref="C4" showDropDown="0" showInputMessage="0" showErrorMessage="1" allowBlank="1" error="1 to 730 days" type="whole" operator="between">
      <formula1>1</formula1>
      <formula2>730</formula2>
    </dataValidation>
    <dataValidation sqref="B7" showDropDown="0" showInputMessage="0" showErrorMessage="1" allowBlank="1" type="list">
      <formula1>"Normal,Uniform,Log-normal,Triangular"</formula1>
    </dataValidation>
    <dataValidation sqref="F7" showDropDown="0" showInputMessage="0" showErrorMessage="1" allowBlank="1" error="Smoothing must be 0 to 0.99" type="decimal" operator="between">
      <formula1>0</formula1>
      <formula2>0.99</formula2>
    </dataValidation>
    <dataValidation sqref="G7" showDropDown="0" showInputMessage="0" showErrorMessage="1" allowBlank="1" error="Correlation must be 0 to 1" type="decimal" operator="between">
      <formula1>0</formula1>
      <formula2>1</formula2>
    </dataValidation>
    <dataValidation sqref="B10:H10" showDropDown="0" showInputMessage="0" showErrorMessage="1" allowBlank="1" error="Factor must be &gt;= 0" type="decimal" operator="greaterThanOrEqual">
      <formula1>0</formula1>
    </dataValidation>
    <dataValidation sqref="D11" showDropDown="0" showInputMessage="0" showErrorMessage="1" allowBlank="1" type="list">
      <formula1>"Compound,Linear"</formula1>
    </dataValidation>
    <dataValidation sqref="B13:B20" showDropDown="0" showInputMessage="0" showErrorMessage="1" allowBlank="1" error="Enter a date" type="date" operator="greaterThan">
      <formula1>1</formula1>
    </dataValidation>
    <dataValidation sqref="C13:C20" showDropDown="0" showInputMessage="0" showErrorMessage="1" allowBlank="1" error="Duration 1 to 365 days" type="decimal" operator="between">
      <formula1>1</formula1>
      <formula2>365</formula2>
    </dataValidation>
    <dataValidation sqref="D13:D20" showDropDown="0" showInputMessage="0" showErrorMessage="1" allowBlank="1" error="Factor must be &gt;= 0" type="decimal" operator="greaterThanOrEqual">
      <formula1>0</formula1>
    </dataValidation>
    <dataValidation sqref="E13:E20" showDropDown="0" showInputMessage="0" showErrorMessage="1" allowBlank="1" error="Probability 0 to 1" type="decimal" operator="between">
      <formula1>0</formula1>
      <formula2>1</formula2>
    </dataValidation>
    <dataValidation sqref="F13:F20" showDropDown="0" showInputMessage="0" showErrorMessage="1" allowBlank="1" error="0 to 8 mines" type="whole" operator="between">
      <formula1>0</formula1>
      <formula2>8</formula2>
    </dataValidation>
    <dataValidation sqref="G13:G20" showDropDown="0" showInputMessage="0" showErrorMessage="1" allowBlank="1" type="list">
      <formula1>"Bell,Flat"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BAF7A"/>
    <outlinePr summaryBelow="1" summaryRight="1"/>
    <pageSetUpPr/>
  </sheetPr>
  <dimension ref="A1:J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style="22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23">
        <f>IF(COUNTA(MineNames)=0,"Enter at least one mine name on the Generator sheet",LET(keep,ARRAYFORMULA(MineNames&lt;&gt;""),VSTACK(HSTACK("Date",FILTER(MineNames,keep),"Total"),HSTACK(Engine!B3:INDEX(Engine!B:B,DaysCount+2),FILTER(Engine!AL3:INDEX(Engine!AS:AS,DaysCount+2),keep),Engine!AT3:INDEX(Engine!AT:AT,DaysCount+2)))))</f>
        <v/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98781"/>
    <outlinePr summaryBelow="1" summaryRight="1"/>
    <pageSetUpPr/>
  </sheetPr>
  <dimension ref="A1:AT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style="22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</cols>
  <sheetData>
    <row r="1" ht="30" customHeight="1">
      <c r="A1" s="24" t="inlineStr">
        <is>
          <t>Calendar, weekday &amp; trend</t>
        </is>
      </c>
      <c r="B1" s="24" t="n"/>
      <c r="C1" s="24" t="n"/>
      <c r="D1" s="24" t="n"/>
      <c r="E1" s="24" t="n"/>
      <c r="F1" s="25" t="inlineStr">
        <is>
          <t>Noise z (standard normal, smoothed &amp; correlated)</t>
        </is>
      </c>
      <c r="G1" s="25" t="n"/>
      <c r="H1" s="25" t="n"/>
      <c r="I1" s="25" t="n"/>
      <c r="J1" s="25" t="n"/>
      <c r="K1" s="25" t="n"/>
      <c r="L1" s="25" t="n"/>
      <c r="M1" s="25" t="n"/>
      <c r="N1" s="26" t="inlineStr">
        <is>
          <t>Base output = F^-1(Phi(z)) of chosen distribution</t>
        </is>
      </c>
      <c r="O1" s="26" t="n"/>
      <c r="P1" s="26" t="n"/>
      <c r="Q1" s="26" t="n"/>
      <c r="R1" s="26" t="n"/>
      <c r="S1" s="26" t="n"/>
      <c r="T1" s="26" t="n"/>
      <c r="U1" s="26" t="n"/>
      <c r="V1" s="27" t="inlineStr">
        <is>
          <t>Event shape weight w(t) (0..1)</t>
        </is>
      </c>
      <c r="W1" s="27" t="n"/>
      <c r="X1" s="27" t="n"/>
      <c r="Y1" s="27" t="n"/>
      <c r="Z1" s="27" t="n"/>
      <c r="AA1" s="27" t="n"/>
      <c r="AB1" s="27" t="n"/>
      <c r="AC1" s="27" t="n"/>
      <c r="AD1" s="28" t="inlineStr">
        <is>
          <t>Event factor = PRODUCT(1 + (F-1) w hit)</t>
        </is>
      </c>
      <c r="AE1" s="28" t="n"/>
      <c r="AF1" s="28" t="n"/>
      <c r="AG1" s="28" t="n"/>
      <c r="AH1" s="28" t="n"/>
      <c r="AI1" s="28" t="n"/>
      <c r="AJ1" s="28" t="n"/>
      <c r="AK1" s="28" t="n"/>
      <c r="AL1" s="29" t="inlineStr">
        <is>
          <t>Output = max(0, base) x weekday x trend x events</t>
        </is>
      </c>
      <c r="AM1" s="29" t="n"/>
      <c r="AN1" s="29" t="n"/>
      <c r="AO1" s="29" t="n"/>
      <c r="AP1" s="29" t="n"/>
      <c r="AQ1" s="29" t="n"/>
      <c r="AR1" s="29" t="n"/>
      <c r="AS1" s="29" t="n"/>
      <c r="AT1" s="29" t="n"/>
    </row>
    <row r="2" ht="30" customHeight="1">
      <c r="A2" s="24" t="inlineStr">
        <is>
          <t>t</t>
        </is>
      </c>
      <c r="B2" s="24" t="inlineStr">
        <is>
          <t>Date</t>
        </is>
      </c>
      <c r="C2" s="24" t="inlineStr">
        <is>
          <t>Weekday x</t>
        </is>
      </c>
      <c r="D2" s="24" t="inlineStr">
        <is>
          <t>Trend x</t>
        </is>
      </c>
      <c r="E2" s="24" t="inlineStr">
        <is>
          <t>Common shock</t>
        </is>
      </c>
      <c r="F2" s="25">
        <f>IF(INDEX(MineNames,1,1)="","slot 1",INDEX(MineNames,1,1))</f>
        <v/>
      </c>
      <c r="G2" s="25">
        <f>IF(INDEX(MineNames,1,2)="","slot 2",INDEX(MineNames,1,2))</f>
        <v/>
      </c>
      <c r="H2" s="25">
        <f>IF(INDEX(MineNames,1,3)="","slot 3",INDEX(MineNames,1,3))</f>
        <v/>
      </c>
      <c r="I2" s="25">
        <f>IF(INDEX(MineNames,1,4)="","slot 4",INDEX(MineNames,1,4))</f>
        <v/>
      </c>
      <c r="J2" s="25">
        <f>IF(INDEX(MineNames,1,5)="","slot 5",INDEX(MineNames,1,5))</f>
        <v/>
      </c>
      <c r="K2" s="25">
        <f>IF(INDEX(MineNames,1,6)="","slot 6",INDEX(MineNames,1,6))</f>
        <v/>
      </c>
      <c r="L2" s="25">
        <f>IF(INDEX(MineNames,1,7)="","slot 7",INDEX(MineNames,1,7))</f>
        <v/>
      </c>
      <c r="M2" s="25">
        <f>IF(INDEX(MineNames,1,8)="","slot 8",INDEX(MineNames,1,8))</f>
        <v/>
      </c>
      <c r="N2" s="26">
        <f>IF(INDEX(MineNames,1,1)="","slot 1",INDEX(MineNames,1,1))</f>
        <v/>
      </c>
      <c r="O2" s="26">
        <f>IF(INDEX(MineNames,1,2)="","slot 2",INDEX(MineNames,1,2))</f>
        <v/>
      </c>
      <c r="P2" s="26">
        <f>IF(INDEX(MineNames,1,3)="","slot 3",INDEX(MineNames,1,3))</f>
        <v/>
      </c>
      <c r="Q2" s="26">
        <f>IF(INDEX(MineNames,1,4)="","slot 4",INDEX(MineNames,1,4))</f>
        <v/>
      </c>
      <c r="R2" s="26">
        <f>IF(INDEX(MineNames,1,5)="","slot 5",INDEX(MineNames,1,5))</f>
        <v/>
      </c>
      <c r="S2" s="26">
        <f>IF(INDEX(MineNames,1,6)="","slot 6",INDEX(MineNames,1,6))</f>
        <v/>
      </c>
      <c r="T2" s="26">
        <f>IF(INDEX(MineNames,1,7)="","slot 7",INDEX(MineNames,1,7))</f>
        <v/>
      </c>
      <c r="U2" s="26">
        <f>IF(INDEX(MineNames,1,8)="","slot 8",INDEX(MineNames,1,8))</f>
        <v/>
      </c>
      <c r="V2" s="27" t="inlineStr">
        <is>
          <t>Event 1</t>
        </is>
      </c>
      <c r="W2" s="27" t="inlineStr">
        <is>
          <t>Event 2</t>
        </is>
      </c>
      <c r="X2" s="27" t="inlineStr">
        <is>
          <t>Event 3</t>
        </is>
      </c>
      <c r="Y2" s="27" t="inlineStr">
        <is>
          <t>Event 4</t>
        </is>
      </c>
      <c r="Z2" s="27" t="inlineStr">
        <is>
          <t>Event 5</t>
        </is>
      </c>
      <c r="AA2" s="27" t="inlineStr">
        <is>
          <t>Event 6</t>
        </is>
      </c>
      <c r="AB2" s="27" t="inlineStr">
        <is>
          <t>Event 7</t>
        </is>
      </c>
      <c r="AC2" s="27" t="inlineStr">
        <is>
          <t>Event 8</t>
        </is>
      </c>
      <c r="AD2" s="28">
        <f>IF(INDEX(MineNames,1,1)="","slot 1",INDEX(MineNames,1,1))</f>
        <v/>
      </c>
      <c r="AE2" s="28">
        <f>IF(INDEX(MineNames,1,2)="","slot 2",INDEX(MineNames,1,2))</f>
        <v/>
      </c>
      <c r="AF2" s="28">
        <f>IF(INDEX(MineNames,1,3)="","slot 3",INDEX(MineNames,1,3))</f>
        <v/>
      </c>
      <c r="AG2" s="28">
        <f>IF(INDEX(MineNames,1,4)="","slot 4",INDEX(MineNames,1,4))</f>
        <v/>
      </c>
      <c r="AH2" s="28">
        <f>IF(INDEX(MineNames,1,5)="","slot 5",INDEX(MineNames,1,5))</f>
        <v/>
      </c>
      <c r="AI2" s="28">
        <f>IF(INDEX(MineNames,1,6)="","slot 6",INDEX(MineNames,1,6))</f>
        <v/>
      </c>
      <c r="AJ2" s="28">
        <f>IF(INDEX(MineNames,1,7)="","slot 7",INDEX(MineNames,1,7))</f>
        <v/>
      </c>
      <c r="AK2" s="28">
        <f>IF(INDEX(MineNames,1,8)="","slot 8",INDEX(MineNames,1,8))</f>
        <v/>
      </c>
      <c r="AL2" s="29">
        <f>IF(INDEX(MineNames,1,1)="","",INDEX(MineNames,1,1))</f>
        <v/>
      </c>
      <c r="AM2" s="29">
        <f>IF(INDEX(MineNames,1,2)="","",INDEX(MineNames,1,2))</f>
        <v/>
      </c>
      <c r="AN2" s="29">
        <f>IF(INDEX(MineNames,1,3)="","",INDEX(MineNames,1,3))</f>
        <v/>
      </c>
      <c r="AO2" s="29">
        <f>IF(INDEX(MineNames,1,4)="","",INDEX(MineNames,1,4))</f>
        <v/>
      </c>
      <c r="AP2" s="29">
        <f>IF(INDEX(MineNames,1,5)="","",INDEX(MineNames,1,5))</f>
        <v/>
      </c>
      <c r="AQ2" s="29">
        <f>IF(INDEX(MineNames,1,6)="","",INDEX(MineNames,1,6))</f>
        <v/>
      </c>
      <c r="AR2" s="29">
        <f>IF(INDEX(MineNames,1,7)="","",INDEX(MineNames,1,7))</f>
        <v/>
      </c>
      <c r="AS2" s="29">
        <f>IF(INDEX(MineNames,1,8)="","",INDEX(MineNames,1,8))</f>
        <v/>
      </c>
      <c r="AT2" s="29" t="inlineStr">
        <is>
          <t>Total</t>
        </is>
      </c>
    </row>
    <row r="3">
      <c r="A3">
        <f>SEQUENCE(DaysCount)</f>
        <v/>
      </c>
      <c r="B3" s="22">
        <f>SEQUENCE(DaysCount,1,StartDate,1)</f>
        <v/>
      </c>
      <c r="C3">
        <f>MAP(B3:INDEX(B:B,DaysCount+2),LAMBDA(d,INDEX(WeekdayFactors,1,WEEKDAY(d,2))))</f>
        <v/>
      </c>
      <c r="D3">
        <f>MAP(A3:INDEX(A:A,DaysCount+2),LAMBDA(t,IF(TrendType="Linear",MAX(0,1+GrowthRate*(t-1)),(1+GrowthRate)^(t-1))))</f>
        <v/>
      </c>
      <c r="E3">
        <f>MAP(A3:INDEX(A:A,DaysCount+2),LAMBDA(t,NORMSINV(MIN(MAX(MOD(SIN(Seed*0.6180339887+t*12.9898+0*78.233+1*37.719)*43758.5453,1),1E-9),1-1E-9))))</f>
        <v/>
      </c>
      <c r="F3">
        <f>SCAN(NORMSINV(MIN(MAX(MOD(SIN(Seed*0.6180339887+0*12.9898+1*78.233+2*37.719)*43758.5453,1),1E-9),1-1E-9)),MAP(A3:INDEX(A:A,DaysCount+2),E3:INDEX(E:E,DaysCount+2),LAMBDA(t,cs,SQRT(MixC)*cs+SQRT(1-MixC)*NORMSINV(MIN(MAX(MOD(SIN(Seed*0.6180339887+t*12.9898+1*78.233+1*37.719)*43758.5453,1),1E-9),1-1E-9)))),LAMBDA(z,e,Rho*z+SQRT(1-Rho^2)*e))</f>
        <v/>
      </c>
      <c r="G3">
        <f>SCAN(NORMSINV(MIN(MAX(MOD(SIN(Seed*0.6180339887+0*12.9898+2*78.233+2*37.719)*43758.5453,1),1E-9),1-1E-9)),MAP(A3:INDEX(A:A,DaysCount+2),E3:INDEX(E:E,DaysCount+2),LAMBDA(t,cs,SQRT(MixC)*cs+SQRT(1-MixC)*NORMSINV(MIN(MAX(MOD(SIN(Seed*0.6180339887+t*12.9898+2*78.233+1*37.719)*43758.5453,1),1E-9),1-1E-9)))),LAMBDA(z,e,Rho*z+SQRT(1-Rho^2)*e))</f>
        <v/>
      </c>
      <c r="H3">
        <f>SCAN(NORMSINV(MIN(MAX(MOD(SIN(Seed*0.6180339887+0*12.9898+3*78.233+2*37.719)*43758.5453,1),1E-9),1-1E-9)),MAP(A3:INDEX(A:A,DaysCount+2),E3:INDEX(E:E,DaysCount+2),LAMBDA(t,cs,SQRT(MixC)*cs+SQRT(1-MixC)*NORMSINV(MIN(MAX(MOD(SIN(Seed*0.6180339887+t*12.9898+3*78.233+1*37.719)*43758.5453,1),1E-9),1-1E-9)))),LAMBDA(z,e,Rho*z+SQRT(1-Rho^2)*e))</f>
        <v/>
      </c>
      <c r="I3">
        <f>SCAN(NORMSINV(MIN(MAX(MOD(SIN(Seed*0.6180339887+0*12.9898+4*78.233+2*37.719)*43758.5453,1),1E-9),1-1E-9)),MAP(A3:INDEX(A:A,DaysCount+2),E3:INDEX(E:E,DaysCount+2),LAMBDA(t,cs,SQRT(MixC)*cs+SQRT(1-MixC)*NORMSINV(MIN(MAX(MOD(SIN(Seed*0.6180339887+t*12.9898+4*78.233+1*37.719)*43758.5453,1),1E-9),1-1E-9)))),LAMBDA(z,e,Rho*z+SQRT(1-Rho^2)*e))</f>
        <v/>
      </c>
      <c r="J3">
        <f>SCAN(NORMSINV(MIN(MAX(MOD(SIN(Seed*0.6180339887+0*12.9898+5*78.233+2*37.719)*43758.5453,1),1E-9),1-1E-9)),MAP(A3:INDEX(A:A,DaysCount+2),E3:INDEX(E:E,DaysCount+2),LAMBDA(t,cs,SQRT(MixC)*cs+SQRT(1-MixC)*NORMSINV(MIN(MAX(MOD(SIN(Seed*0.6180339887+t*12.9898+5*78.233+1*37.719)*43758.5453,1),1E-9),1-1E-9)))),LAMBDA(z,e,Rho*z+SQRT(1-Rho^2)*e))</f>
        <v/>
      </c>
      <c r="K3">
        <f>SCAN(NORMSINV(MIN(MAX(MOD(SIN(Seed*0.6180339887+0*12.9898+6*78.233+2*37.719)*43758.5453,1),1E-9),1-1E-9)),MAP(A3:INDEX(A:A,DaysCount+2),E3:INDEX(E:E,DaysCount+2),LAMBDA(t,cs,SQRT(MixC)*cs+SQRT(1-MixC)*NORMSINV(MIN(MAX(MOD(SIN(Seed*0.6180339887+t*12.9898+6*78.233+1*37.719)*43758.5453,1),1E-9),1-1E-9)))),LAMBDA(z,e,Rho*z+SQRT(1-Rho^2)*e))</f>
        <v/>
      </c>
      <c r="L3">
        <f>SCAN(NORMSINV(MIN(MAX(MOD(SIN(Seed*0.6180339887+0*12.9898+7*78.233+2*37.719)*43758.5453,1),1E-9),1-1E-9)),MAP(A3:INDEX(A:A,DaysCount+2),E3:INDEX(E:E,DaysCount+2),LAMBDA(t,cs,SQRT(MixC)*cs+SQRT(1-MixC)*NORMSINV(MIN(MAX(MOD(SIN(Seed*0.6180339887+t*12.9898+7*78.233+1*37.719)*43758.5453,1),1E-9),1-1E-9)))),LAMBDA(z,e,Rho*z+SQRT(1-Rho^2)*e))</f>
        <v/>
      </c>
      <c r="M3">
        <f>SCAN(NORMSINV(MIN(MAX(MOD(SIN(Seed*0.6180339887+0*12.9898+8*78.233+2*37.719)*43758.5453,1),1E-9),1-1E-9)),MAP(A3:INDEX(A:A,DaysCount+2),E3:INDEX(E:E,DaysCount+2),LAMBDA(t,cs,SQRT(MixC)*cs+SQRT(1-MixC)*NORMSINV(MIN(MAX(MOD(SIN(Seed*0.6180339887+t*12.9898+8*78.233+1*37.719)*43758.5453,1),1E-9),1-1E-9)))),LAMBDA(z,e,Rho*z+SQRT(1-Rho^2)*e))</f>
        <v/>
      </c>
      <c r="N3">
        <f>MAP(F3:INDEX(F:F,DaysCount+2),LAMBDA(z,SWITCH(Dist,"Uniform",UniLo+(UniHi-UniLo)*NORMSDIST(z),"Log-normal",EXP(LogMu+LogSd*z),"Triangular",IF(TriHi=TriLo,TriLo,LET(q,NORMSDIST(z),f,(TriMode-TriLo)/(TriHi-TriLo),IF(q&lt;f,TriLo+SQRT(q*(TriHi-TriLo)*(TriMode-TriLo)),TriHi-SQRT((1-q)*(TriHi-TriLo)*(TriHi-TriMode))))),NormMu+NormSd*z)))</f>
        <v/>
      </c>
      <c r="O3">
        <f>MAP(G3:INDEX(G:G,DaysCount+2),LAMBDA(z,SWITCH(Dist,"Uniform",UniLo+(UniHi-UniLo)*NORMSDIST(z),"Log-normal",EXP(LogMu+LogSd*z),"Triangular",IF(TriHi=TriLo,TriLo,LET(q,NORMSDIST(z),f,(TriMode-TriLo)/(TriHi-TriLo),IF(q&lt;f,TriLo+SQRT(q*(TriHi-TriLo)*(TriMode-TriLo)),TriHi-SQRT((1-q)*(TriHi-TriLo)*(TriHi-TriMode))))),NormMu+NormSd*z)))</f>
        <v/>
      </c>
      <c r="P3">
        <f>MAP(H3:INDEX(H:H,DaysCount+2),LAMBDA(z,SWITCH(Dist,"Uniform",UniLo+(UniHi-UniLo)*NORMSDIST(z),"Log-normal",EXP(LogMu+LogSd*z),"Triangular",IF(TriHi=TriLo,TriLo,LET(q,NORMSDIST(z),f,(TriMode-TriLo)/(TriHi-TriLo),IF(q&lt;f,TriLo+SQRT(q*(TriHi-TriLo)*(TriMode-TriLo)),TriHi-SQRT((1-q)*(TriHi-TriLo)*(TriHi-TriMode))))),NormMu+NormSd*z)))</f>
        <v/>
      </c>
      <c r="Q3">
        <f>MAP(I3:INDEX(I:I,DaysCount+2),LAMBDA(z,SWITCH(Dist,"Uniform",UniLo+(UniHi-UniLo)*NORMSDIST(z),"Log-normal",EXP(LogMu+LogSd*z),"Triangular",IF(TriHi=TriLo,TriLo,LET(q,NORMSDIST(z),f,(TriMode-TriLo)/(TriHi-TriLo),IF(q&lt;f,TriLo+SQRT(q*(TriHi-TriLo)*(TriMode-TriLo)),TriHi-SQRT((1-q)*(TriHi-TriLo)*(TriHi-TriMode))))),NormMu+NormSd*z)))</f>
        <v/>
      </c>
      <c r="R3">
        <f>MAP(J3:INDEX(J:J,DaysCount+2),LAMBDA(z,SWITCH(Dist,"Uniform",UniLo+(UniHi-UniLo)*NORMSDIST(z),"Log-normal",EXP(LogMu+LogSd*z),"Triangular",IF(TriHi=TriLo,TriLo,LET(q,NORMSDIST(z),f,(TriMode-TriLo)/(TriHi-TriLo),IF(q&lt;f,TriLo+SQRT(q*(TriHi-TriLo)*(TriMode-TriLo)),TriHi-SQRT((1-q)*(TriHi-TriLo)*(TriHi-TriMode))))),NormMu+NormSd*z)))</f>
        <v/>
      </c>
      <c r="S3">
        <f>MAP(K3:INDEX(K:K,DaysCount+2),LAMBDA(z,SWITCH(Dist,"Uniform",UniLo+(UniHi-UniLo)*NORMSDIST(z),"Log-normal",EXP(LogMu+LogSd*z),"Triangular",IF(TriHi=TriLo,TriLo,LET(q,NORMSDIST(z),f,(TriMode-TriLo)/(TriHi-TriLo),IF(q&lt;f,TriLo+SQRT(q*(TriHi-TriLo)*(TriMode-TriLo)),TriHi-SQRT((1-q)*(TriHi-TriLo)*(TriHi-TriMode))))),NormMu+NormSd*z)))</f>
        <v/>
      </c>
      <c r="T3">
        <f>MAP(L3:INDEX(L:L,DaysCount+2),LAMBDA(z,SWITCH(Dist,"Uniform",UniLo+(UniHi-UniLo)*NORMSDIST(z),"Log-normal",EXP(LogMu+LogSd*z),"Triangular",IF(TriHi=TriLo,TriLo,LET(q,NORMSDIST(z),f,(TriMode-TriLo)/(TriHi-TriLo),IF(q&lt;f,TriLo+SQRT(q*(TriHi-TriLo)*(TriMode-TriLo)),TriHi-SQRT((1-q)*(TriHi-TriLo)*(TriHi-TriMode))))),NormMu+NormSd*z)))</f>
        <v/>
      </c>
      <c r="U3">
        <f>MAP(M3:INDEX(M:M,DaysCount+2),LAMBDA(z,SWITCH(Dist,"Uniform",UniLo+(UniHi-UniLo)*NORMSDIST(z),"Log-normal",EXP(LogMu+LogSd*z),"Triangular",IF(TriHi=TriLo,TriLo,LET(q,NORMSDIST(z),f,(TriMode-TriLo)/(TriHi-TriLo),IF(q&lt;f,TriLo+SQRT(q*(TriHi-TriLo)*(TriMode-TriLo)),TriHi-SQRT((1-q)*(TriHi-TriLo)*(TriHi-TriMode))))),NormMu+NormSd*z)))</f>
        <v/>
      </c>
      <c r="V3">
        <f>LET(dstart,INDEX(EvDay,1),fac,INDEX(EvFactor,1),dur,MAX(1,N(INDEX(EvDur,1))),flat,INDEX(EvShape,1)="Flat",ctr,dstart+(dur-1)/2,sg,dur/2.3548,MAP(B3:INDEX(B:B,DaysCount+2),LAMBDA(d,IF(OR(dstart="",fac=""),0,IF(flat,IF(AND(d&gt;=dstart,d&lt;dstart+dur),1,0),LET(w,EXP(-((d-ctr)^2)/(2*sg^2)),IF(w&lt;0.01,0,w)))))))</f>
        <v/>
      </c>
      <c r="W3">
        <f>LET(dstart,INDEX(EvDay,2),fac,INDEX(EvFactor,2),dur,MAX(1,N(INDEX(EvDur,2))),flat,INDEX(EvShape,2)="Flat",ctr,dstart+(dur-1)/2,sg,dur/2.3548,MAP(B3:INDEX(B:B,DaysCount+2),LAMBDA(d,IF(OR(dstart="",fac=""),0,IF(flat,IF(AND(d&gt;=dstart,d&lt;dstart+dur),1,0),LET(w,EXP(-((d-ctr)^2)/(2*sg^2)),IF(w&lt;0.01,0,w)))))))</f>
        <v/>
      </c>
      <c r="X3">
        <f>LET(dstart,INDEX(EvDay,3),fac,INDEX(EvFactor,3),dur,MAX(1,N(INDEX(EvDur,3))),flat,INDEX(EvShape,3)="Flat",ctr,dstart+(dur-1)/2,sg,dur/2.3548,MAP(B3:INDEX(B:B,DaysCount+2),LAMBDA(d,IF(OR(dstart="",fac=""),0,IF(flat,IF(AND(d&gt;=dstart,d&lt;dstart+dur),1,0),LET(w,EXP(-((d-ctr)^2)/(2*sg^2)),IF(w&lt;0.01,0,w)))))))</f>
        <v/>
      </c>
      <c r="Y3">
        <f>LET(dstart,INDEX(EvDay,4),fac,INDEX(EvFactor,4),dur,MAX(1,N(INDEX(EvDur,4))),flat,INDEX(EvShape,4)="Flat",ctr,dstart+(dur-1)/2,sg,dur/2.3548,MAP(B3:INDEX(B:B,DaysCount+2),LAMBDA(d,IF(OR(dstart="",fac=""),0,IF(flat,IF(AND(d&gt;=dstart,d&lt;dstart+dur),1,0),LET(w,EXP(-((d-ctr)^2)/(2*sg^2)),IF(w&lt;0.01,0,w)))))))</f>
        <v/>
      </c>
      <c r="Z3">
        <f>LET(dstart,INDEX(EvDay,5),fac,INDEX(EvFactor,5),dur,MAX(1,N(INDEX(EvDur,5))),flat,INDEX(EvShape,5)="Flat",ctr,dstart+(dur-1)/2,sg,dur/2.3548,MAP(B3:INDEX(B:B,DaysCount+2),LAMBDA(d,IF(OR(dstart="",fac=""),0,IF(flat,IF(AND(d&gt;=dstart,d&lt;dstart+dur),1,0),LET(w,EXP(-((d-ctr)^2)/(2*sg^2)),IF(w&lt;0.01,0,w)))))))</f>
        <v/>
      </c>
      <c r="AA3">
        <f>LET(dstart,INDEX(EvDay,6),fac,INDEX(EvFactor,6),dur,MAX(1,N(INDEX(EvDur,6))),flat,INDEX(EvShape,6)="Flat",ctr,dstart+(dur-1)/2,sg,dur/2.3548,MAP(B3:INDEX(B:B,DaysCount+2),LAMBDA(d,IF(OR(dstart="",fac=""),0,IF(flat,IF(AND(d&gt;=dstart,d&lt;dstart+dur),1,0),LET(w,EXP(-((d-ctr)^2)/(2*sg^2)),IF(w&lt;0.01,0,w)))))))</f>
        <v/>
      </c>
      <c r="AB3">
        <f>LET(dstart,INDEX(EvDay,7),fac,INDEX(EvFactor,7),dur,MAX(1,N(INDEX(EvDur,7))),flat,INDEX(EvShape,7)="Flat",ctr,dstart+(dur-1)/2,sg,dur/2.3548,MAP(B3:INDEX(B:B,DaysCount+2),LAMBDA(d,IF(OR(dstart="",fac=""),0,IF(flat,IF(AND(d&gt;=dstart,d&lt;dstart+dur),1,0),LET(w,EXP(-((d-ctr)^2)/(2*sg^2)),IF(w&lt;0.01,0,w)))))))</f>
        <v/>
      </c>
      <c r="AC3">
        <f>LET(dstart,INDEX(EvDay,8),fac,INDEX(EvFactor,8),dur,MAX(1,N(INDEX(EvDur,8))),flat,INDEX(EvShape,8)="Flat",ctr,dstart+(dur-1)/2,sg,dur/2.3548,MAP(B3:INDEX(B:B,DaysCount+2),LAMBDA(d,IF(OR(dstart="",fac=""),0,IF(flat,IF(AND(d&gt;=dstart,d&lt;dstart+dur),1,0),LET(w,EXP(-((d-ctr)^2)/(2*sg^2)),IF(w&lt;0.01,0,w)))))))</f>
        <v/>
      </c>
      <c r="AD3">
        <f>LET(amp,TRANSPOSE(INDEX(EvAmp,0,1)),BYROW(V3:INDEX(AC:AC,DaysCount+2),LAMBDA(w,PRODUCT(ARRAYFORMULA(1+amp*w)))))</f>
        <v/>
      </c>
      <c r="AE3">
        <f>LET(amp,TRANSPOSE(INDEX(EvAmp,0,2)),BYROW(V3:INDEX(AC:AC,DaysCount+2),LAMBDA(w,PRODUCT(ARRAYFORMULA(1+amp*w)))))</f>
        <v/>
      </c>
      <c r="AF3">
        <f>LET(amp,TRANSPOSE(INDEX(EvAmp,0,3)),BYROW(V3:INDEX(AC:AC,DaysCount+2),LAMBDA(w,PRODUCT(ARRAYFORMULA(1+amp*w)))))</f>
        <v/>
      </c>
      <c r="AG3">
        <f>LET(amp,TRANSPOSE(INDEX(EvAmp,0,4)),BYROW(V3:INDEX(AC:AC,DaysCount+2),LAMBDA(w,PRODUCT(ARRAYFORMULA(1+amp*w)))))</f>
        <v/>
      </c>
      <c r="AH3">
        <f>LET(amp,TRANSPOSE(INDEX(EvAmp,0,5)),BYROW(V3:INDEX(AC:AC,DaysCount+2),LAMBDA(w,PRODUCT(ARRAYFORMULA(1+amp*w)))))</f>
        <v/>
      </c>
      <c r="AI3">
        <f>LET(amp,TRANSPOSE(INDEX(EvAmp,0,6)),BYROW(V3:INDEX(AC:AC,DaysCount+2),LAMBDA(w,PRODUCT(ARRAYFORMULA(1+amp*w)))))</f>
        <v/>
      </c>
      <c r="AJ3">
        <f>LET(amp,TRANSPOSE(INDEX(EvAmp,0,7)),BYROW(V3:INDEX(AC:AC,DaysCount+2),LAMBDA(w,PRODUCT(ARRAYFORMULA(1+amp*w)))))</f>
        <v/>
      </c>
      <c r="AK3">
        <f>LET(amp,TRANSPOSE(INDEX(EvAmp,0,8)),BYROW(V3:INDEX(AC:AC,DaysCount+2),LAMBDA(w,PRODUCT(ARRAYFORMULA(1+amp*w)))))</f>
        <v/>
      </c>
      <c r="AL3">
        <f>MAP(N3:INDEX(N:N,DaysCount+2),C3:INDEX(C:C,DaysCount+2),D3:INDEX(D:D,DaysCount+2),AD3:INDEX(AD:AD,DaysCount+2),LAMBDA(b,wd,tr,ev,IF(INDEX(MineNames,1,1)="",,ROUND(MAX(0,b)*wd*tr*ev,2))))</f>
        <v/>
      </c>
      <c r="AM3">
        <f>MAP(O3:INDEX(O:O,DaysCount+2),C3:INDEX(C:C,DaysCount+2),D3:INDEX(D:D,DaysCount+2),AE3:INDEX(AE:AE,DaysCount+2),LAMBDA(b,wd,tr,ev,IF(INDEX(MineNames,1,2)="",,ROUND(MAX(0,b)*wd*tr*ev,2))))</f>
        <v/>
      </c>
      <c r="AN3">
        <f>MAP(P3:INDEX(P:P,DaysCount+2),C3:INDEX(C:C,DaysCount+2),D3:INDEX(D:D,DaysCount+2),AF3:INDEX(AF:AF,DaysCount+2),LAMBDA(b,wd,tr,ev,IF(INDEX(MineNames,1,3)="",,ROUND(MAX(0,b)*wd*tr*ev,2))))</f>
        <v/>
      </c>
      <c r="AO3">
        <f>MAP(Q3:INDEX(Q:Q,DaysCount+2),C3:INDEX(C:C,DaysCount+2),D3:INDEX(D:D,DaysCount+2),AG3:INDEX(AG:AG,DaysCount+2),LAMBDA(b,wd,tr,ev,IF(INDEX(MineNames,1,4)="",,ROUND(MAX(0,b)*wd*tr*ev,2))))</f>
        <v/>
      </c>
      <c r="AP3">
        <f>MAP(R3:INDEX(R:R,DaysCount+2),C3:INDEX(C:C,DaysCount+2),D3:INDEX(D:D,DaysCount+2),AH3:INDEX(AH:AH,DaysCount+2),LAMBDA(b,wd,tr,ev,IF(INDEX(MineNames,1,5)="",,ROUND(MAX(0,b)*wd*tr*ev,2))))</f>
        <v/>
      </c>
      <c r="AQ3">
        <f>MAP(S3:INDEX(S:S,DaysCount+2),C3:INDEX(C:C,DaysCount+2),D3:INDEX(D:D,DaysCount+2),AI3:INDEX(AI:AI,DaysCount+2),LAMBDA(b,wd,tr,ev,IF(INDEX(MineNames,1,6)="",,ROUND(MAX(0,b)*wd*tr*ev,2))))</f>
        <v/>
      </c>
      <c r="AR3">
        <f>MAP(T3:INDEX(T:T,DaysCount+2),C3:INDEX(C:C,DaysCount+2),D3:INDEX(D:D,DaysCount+2),AJ3:INDEX(AJ:AJ,DaysCount+2),LAMBDA(b,wd,tr,ev,IF(INDEX(MineNames,1,7)="",,ROUND(MAX(0,b)*wd*tr*ev,2))))</f>
        <v/>
      </c>
      <c r="AS3">
        <f>MAP(U3:INDEX(U:U,DaysCount+2),C3:INDEX(C:C,DaysCount+2),D3:INDEX(D:D,DaysCount+2),AK3:INDEX(AK:AK,DaysCount+2),LAMBDA(b,wd,tr,ev,IF(INDEX(MineNames,1,8)="",,ROUND(MAX(0,b)*wd*tr*ev,2))))</f>
        <v/>
      </c>
      <c r="AT3">
        <f>BYROW(AL3:INDEX(AS:AS,DaysCount+2),LAMBDA(r,SUM(r)))</f>
        <v/>
      </c>
    </row>
  </sheetData>
  <mergeCells count="6">
    <mergeCell ref="N1:U1"/>
    <mergeCell ref="AL1:AT1"/>
    <mergeCell ref="V1:AC1"/>
    <mergeCell ref="AD1:AK1"/>
    <mergeCell ref="A1:E1"/>
    <mergeCell ref="F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98781"/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30" t="inlineStr">
        <is>
          <t>Model: derived constants and event map (calculated, do not edit)</t>
        </is>
      </c>
    </row>
    <row r="3">
      <c r="A3" s="31" t="inlineStr">
        <is>
          <t>Distribution</t>
        </is>
      </c>
      <c r="B3" s="32">
        <f>Dist</f>
        <v/>
      </c>
      <c r="C3" s="33" t="inlineStr"/>
    </row>
    <row r="4">
      <c r="A4" s="31" t="inlineStr">
        <is>
          <t>Normal mean</t>
        </is>
      </c>
      <c r="B4" s="32">
        <f>N(ParamA)</f>
        <v/>
      </c>
      <c r="C4" s="33" t="inlineStr">
        <is>
          <t>Mean</t>
        </is>
      </c>
    </row>
    <row r="5">
      <c r="A5" s="31" t="inlineStr">
        <is>
          <t>Normal deviation</t>
        </is>
      </c>
      <c r="B5" s="32">
        <f>MAX(0,N(ParamB))</f>
        <v/>
      </c>
      <c r="C5" s="33" t="inlineStr">
        <is>
          <t>Deviation, negative treated as 0</t>
        </is>
      </c>
    </row>
    <row r="6">
      <c r="A6" s="31" t="inlineStr">
        <is>
          <t>Uniform min</t>
        </is>
      </c>
      <c r="B6" s="32">
        <f>MIN(N(ParamA),N(ParamB))</f>
        <v/>
      </c>
      <c r="C6" s="33" t="inlineStr">
        <is>
          <t>Min/Max are sorted, so a swapped pair still works</t>
        </is>
      </c>
    </row>
    <row r="7">
      <c r="A7" s="31" t="inlineStr">
        <is>
          <t>Uniform max</t>
        </is>
      </c>
      <c r="B7" s="32">
        <f>MAX(N(ParamA),N(ParamB))</f>
        <v/>
      </c>
      <c r="C7" s="33" t="inlineStr"/>
    </row>
    <row r="8">
      <c r="A8" s="31" t="inlineStr">
        <is>
          <t>Log-normal log-sd</t>
        </is>
      </c>
      <c r="B8" s="32">
        <f>SQRT(LN(1+(MAX(0,N(ParamB))/MAX(N(ParamA),1E-9))^2))</f>
        <v/>
      </c>
      <c r="C8" s="33" t="inlineStr">
        <is>
          <t>sigma = sqrt(ln(1 + (sd/mean)^2))</t>
        </is>
      </c>
    </row>
    <row r="9">
      <c r="A9" s="31" t="inlineStr">
        <is>
          <t>Log-normal log-mean</t>
        </is>
      </c>
      <c r="B9" s="32">
        <f>LN(MAX(N(ParamA),1E-9))-B8^2/2</f>
        <v/>
      </c>
      <c r="C9" s="33" t="inlineStr">
        <is>
          <t>mu = ln(mean) - sigma^2/2</t>
        </is>
      </c>
    </row>
    <row r="10">
      <c r="A10" s="31" t="inlineStr">
        <is>
          <t>Triangular min</t>
        </is>
      </c>
      <c r="B10" s="32">
        <f>MIN(ParamA,ParamB,ParamC)</f>
        <v/>
      </c>
      <c r="C10" s="33" t="inlineStr">
        <is>
          <t>Min, Mode, Max are sorted</t>
        </is>
      </c>
    </row>
    <row r="11">
      <c r="A11" s="31" t="inlineStr">
        <is>
          <t>Triangular mode</t>
        </is>
      </c>
      <c r="B11" s="32">
        <f>MEDIAN(ParamA,ParamB,ParamC)</f>
        <v/>
      </c>
      <c r="C11" s="33" t="inlineStr"/>
    </row>
    <row r="12">
      <c r="A12" s="31" t="inlineStr">
        <is>
          <t>Triangular max</t>
        </is>
      </c>
      <c r="B12" s="32">
        <f>MAX(ParamA,ParamB,ParamC)</f>
        <v/>
      </c>
      <c r="C12" s="33" t="inlineStr"/>
    </row>
    <row r="13">
      <c r="A13" s="31" t="inlineStr">
        <is>
          <t>Base mean</t>
        </is>
      </c>
      <c r="B13" s="32">
        <f>SWITCH(Dist,"Uniform",(B6+B7)/2,"Log-normal",MAX(N(ParamA),0),"Triangular",(B10+B11+B12)/3,B4)</f>
        <v/>
      </c>
      <c r="C13" s="33" t="inlineStr">
        <is>
          <t>Mean of the base distribution</t>
        </is>
      </c>
    </row>
    <row r="14">
      <c r="A14" s="31" t="inlineStr">
        <is>
          <t>Base deviation</t>
        </is>
      </c>
      <c r="B14" s="32">
        <f>SWITCH(Dist,"Uniform",(B7-B6)/SQRT(12),"Log-normal",MAX(0,N(ParamB)),"Triangular",SQRT((B10^2+B11^2+B12^2-B10*B11-B10*B12-B11*B12)/18),B5)</f>
        <v/>
      </c>
      <c r="C14" s="33" t="inlineStr"/>
    </row>
    <row r="15">
      <c r="A15" s="31" t="inlineStr">
        <is>
          <t>Smoothing rho (clamped)</t>
        </is>
      </c>
      <c r="B15" s="32">
        <f>MIN(MAX(N(Smoothing),0),0.99)</f>
        <v/>
      </c>
      <c r="C15" s="33" t="inlineStr">
        <is>
          <t>Day-to-day autocorrelation</t>
        </is>
      </c>
    </row>
    <row r="16">
      <c r="A16" s="31" t="inlineStr">
        <is>
          <t>Mine correlation c (clamped)</t>
        </is>
      </c>
      <c r="B16" s="32">
        <f>MIN(MAX(N(Correlation),0),1)</f>
        <v/>
      </c>
      <c r="C16" s="33" t="inlineStr">
        <is>
          <t>Share of the common daily shock</t>
        </is>
      </c>
    </row>
    <row r="18">
      <c r="A18" s="34" t="inlineStr">
        <is>
          <t>Which mines does each event hit?</t>
        </is>
      </c>
    </row>
    <row r="19">
      <c r="A19" s="31" t="inlineStr">
        <is>
          <t>Random draw r(e, mine)</t>
        </is>
      </c>
      <c r="B19" s="35">
        <f>IF(INDEX(MineNames,1,1)="","slot 1",INDEX(MineNames,1,1))</f>
        <v/>
      </c>
      <c r="C19" s="35">
        <f>IF(INDEX(MineNames,1,2)="","slot 2",INDEX(MineNames,1,2))</f>
        <v/>
      </c>
      <c r="D19" s="35">
        <f>IF(INDEX(MineNames,1,3)="","slot 3",INDEX(MineNames,1,3))</f>
        <v/>
      </c>
      <c r="E19" s="35">
        <f>IF(INDEX(MineNames,1,4)="","slot 4",INDEX(MineNames,1,4))</f>
        <v/>
      </c>
      <c r="F19" s="35">
        <f>IF(INDEX(MineNames,1,5)="","slot 5",INDEX(MineNames,1,5))</f>
        <v/>
      </c>
      <c r="G19" s="35">
        <f>IF(INDEX(MineNames,1,6)="","slot 6",INDEX(MineNames,1,6))</f>
        <v/>
      </c>
      <c r="H19" s="35">
        <f>IF(INDEX(MineNames,1,7)="","slot 7",INDEX(MineNames,1,7))</f>
        <v/>
      </c>
      <c r="I19" s="35">
        <f>IF(INDEX(MineNames,1,8)="","slot 8",INDEX(MineNames,1,8))</f>
        <v/>
      </c>
      <c r="J19" s="36" t="inlineStr">
        <is>
          <t>Probability mode: a mine is hit when its draw r &lt; Probability (blank = 1). Mines mode: the N named mines with the smallest draws are hit.</t>
        </is>
      </c>
    </row>
    <row r="20">
      <c r="A20" t="inlineStr">
        <is>
          <t>Event 1</t>
        </is>
      </c>
      <c r="B20" s="37">
        <f>MAKEARRAY(8,8,LAMBDA(e,m,MOD(SIN(Seed*0.6180339887+e*12.9898+m*78.233+3*37.719)*43758.5453,1)))</f>
        <v/>
      </c>
      <c r="C20" s="37" t="n"/>
      <c r="D20" s="37" t="n"/>
      <c r="E20" s="37" t="n"/>
      <c r="F20" s="37" t="n"/>
      <c r="G20" s="37" t="n"/>
      <c r="H20" s="37" t="n"/>
      <c r="I20" s="37" t="n"/>
    </row>
    <row r="21">
      <c r="A21" t="inlineStr">
        <is>
          <t>Event 2</t>
        </is>
      </c>
      <c r="B21" s="37" t="n"/>
      <c r="C21" s="37" t="n"/>
      <c r="D21" s="37" t="n"/>
      <c r="E21" s="37" t="n"/>
      <c r="F21" s="37" t="n"/>
      <c r="G21" s="37" t="n"/>
      <c r="H21" s="37" t="n"/>
      <c r="I21" s="37" t="n"/>
    </row>
    <row r="22">
      <c r="A22" t="inlineStr">
        <is>
          <t>Event 3</t>
        </is>
      </c>
      <c r="B22" s="37" t="n"/>
      <c r="C22" s="37" t="n"/>
      <c r="D22" s="37" t="n"/>
      <c r="E22" s="37" t="n"/>
      <c r="F22" s="37" t="n"/>
      <c r="G22" s="37" t="n"/>
      <c r="H22" s="37" t="n"/>
      <c r="I22" s="37" t="n"/>
    </row>
    <row r="23">
      <c r="A23" t="inlineStr">
        <is>
          <t>Event 4</t>
        </is>
      </c>
      <c r="B23" s="37" t="n"/>
      <c r="C23" s="37" t="n"/>
      <c r="D23" s="37" t="n"/>
      <c r="E23" s="37" t="n"/>
      <c r="F23" s="37" t="n"/>
      <c r="G23" s="37" t="n"/>
      <c r="H23" s="37" t="n"/>
      <c r="I23" s="37" t="n"/>
    </row>
    <row r="24">
      <c r="A24" t="inlineStr">
        <is>
          <t>Event 5</t>
        </is>
      </c>
      <c r="B24" s="37" t="n"/>
      <c r="C24" s="37" t="n"/>
      <c r="D24" s="37" t="n"/>
      <c r="E24" s="37" t="n"/>
      <c r="F24" s="37" t="n"/>
      <c r="G24" s="37" t="n"/>
      <c r="H24" s="37" t="n"/>
      <c r="I24" s="37" t="n"/>
    </row>
    <row r="25">
      <c r="A25" t="inlineStr">
        <is>
          <t>Event 6</t>
        </is>
      </c>
      <c r="B25" s="37" t="n"/>
      <c r="C25" s="37" t="n"/>
      <c r="D25" s="37" t="n"/>
      <c r="E25" s="37" t="n"/>
      <c r="F25" s="37" t="n"/>
      <c r="G25" s="37" t="n"/>
      <c r="H25" s="37" t="n"/>
      <c r="I25" s="37" t="n"/>
    </row>
    <row r="26">
      <c r="A26" t="inlineStr">
        <is>
          <t>Event 7</t>
        </is>
      </c>
      <c r="B26" s="37" t="n"/>
      <c r="C26" s="37" t="n"/>
      <c r="D26" s="37" t="n"/>
      <c r="E26" s="37" t="n"/>
      <c r="F26" s="37" t="n"/>
      <c r="G26" s="37" t="n"/>
      <c r="H26" s="37" t="n"/>
      <c r="I26" s="37" t="n"/>
    </row>
    <row r="27">
      <c r="A27" t="inlineStr">
        <is>
          <t>Event 8</t>
        </is>
      </c>
      <c r="B27" s="37" t="n"/>
      <c r="C27" s="37" t="n"/>
      <c r="D27" s="37" t="n"/>
      <c r="E27" s="37" t="n"/>
      <c r="F27" s="37" t="n"/>
      <c r="G27" s="37" t="n"/>
      <c r="H27" s="37" t="n"/>
      <c r="I27" s="37" t="n"/>
    </row>
    <row r="29">
      <c r="A29" s="31" t="inlineStr">
        <is>
          <t>Hit (1 = event affects the mine)</t>
        </is>
      </c>
      <c r="B29" s="35">
        <f>IF(INDEX(MineNames,1,1)="","slot 1",INDEX(MineNames,1,1))</f>
        <v/>
      </c>
      <c r="C29" s="35">
        <f>IF(INDEX(MineNames,1,2)="","slot 2",INDEX(MineNames,1,2))</f>
        <v/>
      </c>
      <c r="D29" s="35">
        <f>IF(INDEX(MineNames,1,3)="","slot 3",INDEX(MineNames,1,3))</f>
        <v/>
      </c>
      <c r="E29" s="35">
        <f>IF(INDEX(MineNames,1,4)="","slot 4",INDEX(MineNames,1,4))</f>
        <v/>
      </c>
      <c r="F29" s="35">
        <f>IF(INDEX(MineNames,1,5)="","slot 5",INDEX(MineNames,1,5))</f>
        <v/>
      </c>
      <c r="G29" s="35">
        <f>IF(INDEX(MineNames,1,6)="","slot 6",INDEX(MineNames,1,6))</f>
        <v/>
      </c>
      <c r="H29" s="35">
        <f>IF(INDEX(MineNames,1,7)="","slot 7",INDEX(MineNames,1,7))</f>
        <v/>
      </c>
      <c r="I29" s="35">
        <f>IF(INDEX(MineNames,1,8)="","slot 8",INDEX(MineNames,1,8))</f>
        <v/>
      </c>
    </row>
    <row r="30">
      <c r="A30" t="inlineStr">
        <is>
          <t>Event 1</t>
        </is>
      </c>
      <c r="B30" s="38">
        <f>MAKEARRAY(8,8,LAMBDA(e,m,LET(r,INDEX(EvDraw,e,m),on,AND(INDEX(MineNames,1,m)&lt;&gt;"",INDEX(EvDay,e)&lt;&gt;"",INDEX(EvFactor,e)&lt;&gt;""),cnt,INDEX(EvMines,e),pr,INDEX(EvProb,e),IF(NOT(on),0,IF(cnt&lt;&gt;"",IF(1+SUM(MAP(SEQUENCE(1,8),LAMBDA(k,IF(AND(INDEX(MineNames,1,k)&lt;&gt;"",INDEX(EvDraw,e,k)&lt;r),1,0))))&lt;=cnt,1,0),IF(r&lt;IF(pr="",1,pr),1,0))))))</f>
        <v/>
      </c>
      <c r="C30" s="38" t="n"/>
      <c r="D30" s="38" t="n"/>
      <c r="E30" s="38" t="n"/>
      <c r="F30" s="38" t="n"/>
      <c r="G30" s="38" t="n"/>
      <c r="H30" s="38" t="n"/>
      <c r="I30" s="38" t="n"/>
    </row>
    <row r="31">
      <c r="A31" t="inlineStr">
        <is>
          <t>Event 2</t>
        </is>
      </c>
      <c r="B31" s="38" t="n"/>
      <c r="C31" s="38" t="n"/>
      <c r="D31" s="38" t="n"/>
      <c r="E31" s="38" t="n"/>
      <c r="F31" s="38" t="n"/>
      <c r="G31" s="38" t="n"/>
      <c r="H31" s="38" t="n"/>
      <c r="I31" s="38" t="n"/>
    </row>
    <row r="32">
      <c r="A32" t="inlineStr">
        <is>
          <t>Event 3</t>
        </is>
      </c>
      <c r="B32" s="38" t="n"/>
      <c r="C32" s="38" t="n"/>
      <c r="D32" s="38" t="n"/>
      <c r="E32" s="38" t="n"/>
      <c r="F32" s="38" t="n"/>
      <c r="G32" s="38" t="n"/>
      <c r="H32" s="38" t="n"/>
      <c r="I32" s="38" t="n"/>
    </row>
    <row r="33">
      <c r="A33" t="inlineStr">
        <is>
          <t>Event 4</t>
        </is>
      </c>
      <c r="B33" s="38" t="n"/>
      <c r="C33" s="38" t="n"/>
      <c r="D33" s="38" t="n"/>
      <c r="E33" s="38" t="n"/>
      <c r="F33" s="38" t="n"/>
      <c r="G33" s="38" t="n"/>
      <c r="H33" s="38" t="n"/>
      <c r="I33" s="38" t="n"/>
    </row>
    <row r="34">
      <c r="A34" t="inlineStr">
        <is>
          <t>Event 5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</row>
    <row r="35">
      <c r="A35" t="inlineStr">
        <is>
          <t>Event 6</t>
        </is>
      </c>
      <c r="B35" s="38" t="n"/>
      <c r="C35" s="38" t="n"/>
      <c r="D35" s="38" t="n"/>
      <c r="E35" s="38" t="n"/>
      <c r="F35" s="38" t="n"/>
      <c r="G35" s="38" t="n"/>
      <c r="H35" s="38" t="n"/>
      <c r="I35" s="38" t="n"/>
    </row>
    <row r="36">
      <c r="A36" t="inlineStr">
        <is>
          <t>Event 7</t>
        </is>
      </c>
      <c r="B36" s="38" t="n"/>
      <c r="C36" s="38" t="n"/>
      <c r="D36" s="38" t="n"/>
      <c r="E36" s="38" t="n"/>
      <c r="F36" s="38" t="n"/>
      <c r="G36" s="38" t="n"/>
      <c r="H36" s="38" t="n"/>
      <c r="I36" s="38" t="n"/>
    </row>
    <row r="37">
      <c r="A37" t="inlineStr">
        <is>
          <t>Event 8</t>
        </is>
      </c>
      <c r="B37" s="38" t="n"/>
      <c r="C37" s="38" t="n"/>
      <c r="D37" s="38" t="n"/>
      <c r="E37" s="38" t="n"/>
      <c r="F37" s="38" t="n"/>
      <c r="G37" s="38" t="n"/>
      <c r="H37" s="38" t="n"/>
      <c r="I37" s="38" t="n"/>
    </row>
    <row r="39">
      <c r="A39" s="31" t="inlineStr">
        <is>
          <t>Amplitude (Factor - 1) x hit</t>
        </is>
      </c>
      <c r="B39" s="35">
        <f>IF(INDEX(MineNames,1,1)="","slot 1",INDEX(MineNames,1,1))</f>
        <v/>
      </c>
      <c r="C39" s="35">
        <f>IF(INDEX(MineNames,1,2)="","slot 2",INDEX(MineNames,1,2))</f>
        <v/>
      </c>
      <c r="D39" s="35">
        <f>IF(INDEX(MineNames,1,3)="","slot 3",INDEX(MineNames,1,3))</f>
        <v/>
      </c>
      <c r="E39" s="35">
        <f>IF(INDEX(MineNames,1,4)="","slot 4",INDEX(MineNames,1,4))</f>
        <v/>
      </c>
      <c r="F39" s="35">
        <f>IF(INDEX(MineNames,1,5)="","slot 5",INDEX(MineNames,1,5))</f>
        <v/>
      </c>
      <c r="G39" s="35">
        <f>IF(INDEX(MineNames,1,6)="","slot 6",INDEX(MineNames,1,6))</f>
        <v/>
      </c>
      <c r="H39" s="35">
        <f>IF(INDEX(MineNames,1,7)="","slot 7",INDEX(MineNames,1,7))</f>
        <v/>
      </c>
      <c r="I39" s="35">
        <f>IF(INDEX(MineNames,1,8)="","slot 8",INDEX(MineNames,1,8))</f>
        <v/>
      </c>
    </row>
    <row r="40">
      <c r="A40" t="inlineStr">
        <is>
          <t>Event 1</t>
        </is>
      </c>
      <c r="B40" s="39">
        <f>MAKEARRAY(8,8,LAMBDA(e,m,INDEX(EvHit,e,m)*(N(INDEX(EvFactor,e))-1)))</f>
        <v/>
      </c>
      <c r="C40" s="39" t="n"/>
      <c r="D40" s="39" t="n"/>
      <c r="E40" s="39" t="n"/>
      <c r="F40" s="39" t="n"/>
      <c r="G40" s="39" t="n"/>
      <c r="H40" s="39" t="n"/>
      <c r="I40" s="39" t="n"/>
    </row>
    <row r="41">
      <c r="A41" t="inlineStr">
        <is>
          <t>Event 2</t>
        </is>
      </c>
      <c r="B41" s="39" t="n"/>
      <c r="C41" s="39" t="n"/>
      <c r="D41" s="39" t="n"/>
      <c r="E41" s="39" t="n"/>
      <c r="F41" s="39" t="n"/>
      <c r="G41" s="39" t="n"/>
      <c r="H41" s="39" t="n"/>
      <c r="I41" s="39" t="n"/>
    </row>
    <row r="42">
      <c r="A42" t="inlineStr">
        <is>
          <t>Event 3</t>
        </is>
      </c>
      <c r="B42" s="39" t="n"/>
      <c r="C42" s="39" t="n"/>
      <c r="D42" s="39" t="n"/>
      <c r="E42" s="39" t="n"/>
      <c r="F42" s="39" t="n"/>
      <c r="G42" s="39" t="n"/>
      <c r="H42" s="39" t="n"/>
      <c r="I42" s="39" t="n"/>
    </row>
    <row r="43">
      <c r="A43" t="inlineStr">
        <is>
          <t>Event 4</t>
        </is>
      </c>
      <c r="B43" s="39" t="n"/>
      <c r="C43" s="39" t="n"/>
      <c r="D43" s="39" t="n"/>
      <c r="E43" s="39" t="n"/>
      <c r="F43" s="39" t="n"/>
      <c r="G43" s="39" t="n"/>
      <c r="H43" s="39" t="n"/>
      <c r="I43" s="39" t="n"/>
    </row>
    <row r="44">
      <c r="A44" t="inlineStr">
        <is>
          <t>Event 5</t>
        </is>
      </c>
      <c r="B44" s="39" t="n"/>
      <c r="C44" s="39" t="n"/>
      <c r="D44" s="39" t="n"/>
      <c r="E44" s="39" t="n"/>
      <c r="F44" s="39" t="n"/>
      <c r="G44" s="39" t="n"/>
      <c r="H44" s="39" t="n"/>
      <c r="I44" s="39" t="n"/>
    </row>
    <row r="45">
      <c r="A45" t="inlineStr">
        <is>
          <t>Event 6</t>
        </is>
      </c>
      <c r="B45" s="39" t="n"/>
      <c r="C45" s="39" t="n"/>
      <c r="D45" s="39" t="n"/>
      <c r="E45" s="39" t="n"/>
      <c r="F45" s="39" t="n"/>
      <c r="G45" s="39" t="n"/>
      <c r="H45" s="39" t="n"/>
      <c r="I45" s="39" t="n"/>
    </row>
    <row r="46">
      <c r="A46" t="inlineStr">
        <is>
          <t>Event 7</t>
        </is>
      </c>
      <c r="B46" s="39" t="n"/>
      <c r="C46" s="39" t="n"/>
      <c r="D46" s="39" t="n"/>
      <c r="E46" s="39" t="n"/>
      <c r="F46" s="39" t="n"/>
      <c r="G46" s="39" t="n"/>
      <c r="H46" s="39" t="n"/>
      <c r="I46" s="39" t="n"/>
    </row>
    <row r="47">
      <c r="A47" t="inlineStr">
        <is>
          <t>Event 8</t>
        </is>
      </c>
      <c r="B47" s="39" t="n"/>
      <c r="C47" s="39" t="n"/>
      <c r="D47" s="39" t="n"/>
      <c r="E47" s="39" t="n"/>
      <c r="F47" s="39" t="n"/>
      <c r="G47" s="39" t="n"/>
      <c r="H47" s="39" t="n"/>
      <c r="I47" s="3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A100"/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0" t="inlineStr">
        <is>
          <t>Mining Ops Simulator: guide</t>
        </is>
      </c>
    </row>
    <row r="2">
      <c r="A2" s="41" t="inlineStr">
        <is>
          <t>Edit only the white cells on the Generator sheet. Everything else is formulas; the chart and the Data sheet update instantly.</t>
        </is>
      </c>
    </row>
    <row r="3">
      <c r="A3" s="41" t="inlineStr"/>
    </row>
    <row r="4">
      <c r="A4" s="42" t="inlineStr">
        <is>
          <t>Parameters</t>
        </is>
      </c>
    </row>
    <row r="5">
      <c r="A5" s="41" t="inlineStr">
        <is>
          <t>Range: start date and number of days (1 to 730).</t>
        </is>
      </c>
    </row>
    <row r="6">
      <c r="A6" s="41" t="inlineStr">
        <is>
          <t>Mines: up to 8 names in row 5. Add or clear a name to change the number of mines.</t>
        </is>
      </c>
    </row>
    <row r="7">
      <c r="A7" s="41" t="inlineStr">
        <is>
          <t>Distribution: Normal (Mean, Deviation), Uniform (Min, Max), Log-normal (Mean, Deviation), Triangular (Min, Mode, Max). The parameter headers change with the choice.</t>
        </is>
      </c>
    </row>
    <row r="8">
      <c r="A8" s="41" t="inlineStr">
        <is>
          <t>Smoothing: day-to-day autocorrelation rho. 0 = white noise; 0.8 = smooth, slowly drifting output.</t>
        </is>
      </c>
    </row>
    <row r="9">
      <c r="A9" s="41" t="inlineStr">
        <is>
          <t>Correlation: how strongly the mines move together (share of a common daily shock).</t>
        </is>
      </c>
    </row>
    <row r="10">
      <c r="A10" s="41" t="inlineStr">
        <is>
          <t>Seed: the random numbers are a deterministic hash of (seed, day, mine), so the data only changes when a parameter changes.</t>
        </is>
      </c>
    </row>
    <row r="11">
      <c r="A11" s="41" t="inlineStr">
        <is>
          <t>Daily output: one multiplier per weekday (e.g. Sunday 0.4 = output reduced by 60 %).</t>
        </is>
      </c>
    </row>
    <row r="12">
      <c r="A12" s="41" t="inlineStr">
        <is>
          <t>Daily growth: trend per day, compound or linear.</t>
        </is>
      </c>
    </row>
    <row r="13">
      <c r="A13" s="41" t="inlineStr">
        <is>
          <t>Events: day, duration, factor (0.4 = drop to 40 %, 1.4 = +40 % spike), probability that each mine is hit, or an exact number of mines (Mines column, overrides probability), and the shape (Bell or Flat).</t>
        </is>
      </c>
    </row>
    <row r="14">
      <c r="A14" s="41" t="inlineStr"/>
    </row>
    <row r="15">
      <c r="A15" s="42" t="inlineStr">
        <is>
          <t>Model</t>
        </is>
      </c>
    </row>
    <row r="16">
      <c r="A16" s="41" t="inlineStr">
        <is>
          <t>1. Shocks: eps(m,t) = sqrt(c) * common(t) + sqrt(1-c) * own(m,t), with common and own standard normal draws.</t>
        </is>
      </c>
    </row>
    <row r="17">
      <c r="A17" s="41" t="inlineStr">
        <is>
          <t>2. Smoothing (AR(1)): z(m,t) = rho * z(m,t-1) + sqrt(1-rho^2) * eps(m,t). z stays standard normal, so the marginal distribution is not distorted.</t>
        </is>
      </c>
    </row>
    <row r="18">
      <c r="A18" s="41" t="inlineStr">
        <is>
          <t>3. Gaussian copula: base(m,t) = F^-1(Phi(z(m,t))) where F is the chosen distribution. Consecutive days are correlated, values follow the distribution exactly.</t>
        </is>
      </c>
    </row>
    <row r="19">
      <c r="A19" s="41" t="inlineStr">
        <is>
          <t>4. Output(m,t) = max(0, base) x weekday factor x trend(t) x PRODUCT over events (1 + (Factor-1) x w(t) x hit(e,m)), rounded to 0.01.</t>
        </is>
      </c>
    </row>
    <row r="20">
      <c r="A20" s="41" t="inlineStr">
        <is>
          <t xml:space="preserve">   Bell events: w(t) = exp(-(t - centre)^2 / (2 sigma^2)) with sigma = Duration / 2.3548 (full width at half maximum = Duration).</t>
        </is>
      </c>
    </row>
    <row r="21">
      <c r="A21" s="41" t="inlineStr"/>
    </row>
    <row r="22">
      <c r="A22" s="42" t="inlineStr">
        <is>
          <t>Sheets</t>
        </is>
      </c>
    </row>
    <row r="23">
      <c r="A23" s="41" t="inlineStr">
        <is>
          <t>Data: the data source (Date | one column per mine | Total), read by the dashboard through the Google Visualization API.</t>
        </is>
      </c>
    </row>
    <row r="24">
      <c r="A24" s="41" t="inlineStr">
        <is>
          <t>Engine: one array formula per column (MAP / SCAN / BYROW), one row per day.</t>
        </is>
      </c>
    </row>
    <row r="25">
      <c r="A25" s="41" t="inlineStr">
        <is>
          <t>Model: distribution constants and the event-to-mine map (MAKEARRAY).</t>
        </is>
      </c>
    </row>
  </sheetData>
  <pageMargins left="0.75" right="0.75" top="1" bottom="1" header="0.5" footer="0.5"/>
</worksheet>
</file>